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nore os outros valores, mante" sheetId="1" r:id="rId5"/>
  </sheets>
  <definedNames/>
  <calcPr/>
</workbook>
</file>

<file path=xl/sharedStrings.xml><?xml version="1.0" encoding="utf-8"?>
<sst xmlns="http://schemas.openxmlformats.org/spreadsheetml/2006/main" count="92" uniqueCount="75">
  <si>
    <t>Posição</t>
  </si>
  <si>
    <t>Score Qualidade</t>
  </si>
  <si>
    <t>QS Reputação</t>
  </si>
  <si>
    <t>Rank QS (Med)</t>
  </si>
  <si>
    <t>Rank THE (Med)</t>
  </si>
  <si>
    <t>Censis</t>
  </si>
  <si>
    <t>Nature Index</t>
  </si>
  <si>
    <t>Instituição</t>
  </si>
  <si>
    <t>NUMBEO COL</t>
  </si>
  <si>
    <t>LAB24 QoL</t>
  </si>
  <si>
    <t>Non-EU Seats</t>
  </si>
  <si>
    <t>Non-EU Cut-off (2025)</t>
  </si>
  <si>
    <t>Non-EU Cut-off (2023)</t>
  </si>
  <si>
    <t>C/O</t>
  </si>
  <si>
    <t>1º</t>
  </si>
  <si>
    <t>83.43</t>
  </si>
  <si>
    <t>Sapienza University of Rome</t>
  </si>
  <si>
    <t>2º</t>
  </si>
  <si>
    <t>77.33</t>
  </si>
  <si>
    <t>University of Bologna</t>
  </si>
  <si>
    <t>3º</t>
  </si>
  <si>
    <t>73.88</t>
  </si>
  <si>
    <t>University of Milan (Statale)</t>
  </si>
  <si>
    <t>4º</t>
  </si>
  <si>
    <t>69.74</t>
  </si>
  <si>
    <t>University of Padua</t>
  </si>
  <si>
    <t>5º</t>
  </si>
  <si>
    <t>52.54</t>
  </si>
  <si>
    <t>University of Milano-Bicocca</t>
  </si>
  <si>
    <t>6º</t>
  </si>
  <si>
    <t>52.13</t>
  </si>
  <si>
    <t>University of Pavia</t>
  </si>
  <si>
    <t>35 (+5)</t>
  </si>
  <si>
    <t>7º</t>
  </si>
  <si>
    <t>50.92</t>
  </si>
  <si>
    <t>University of Turin</t>
  </si>
  <si>
    <t>—</t>
  </si>
  <si>
    <t>8º</t>
  </si>
  <si>
    <t>45.98</t>
  </si>
  <si>
    <t>University of Rome Tor Vergata</t>
  </si>
  <si>
    <t>9º</t>
  </si>
  <si>
    <t>45.95</t>
  </si>
  <si>
    <t>University of Naples Federico II</t>
  </si>
  <si>
    <t>10º</t>
  </si>
  <si>
    <t>28.59</t>
  </si>
  <si>
    <t>University of Catania</t>
  </si>
  <si>
    <t>-</t>
  </si>
  <si>
    <t>11º</t>
  </si>
  <si>
    <t>21.19</t>
  </si>
  <si>
    <t>University of Parma</t>
  </si>
  <si>
    <t>12º</t>
  </si>
  <si>
    <t>15.32</t>
  </si>
  <si>
    <t>University of Messina</t>
  </si>
  <si>
    <t>13º</t>
  </si>
  <si>
    <t>13.70</t>
  </si>
  <si>
    <t>University of Bari</t>
  </si>
  <si>
    <t>14º</t>
  </si>
  <si>
    <t>10.99</t>
  </si>
  <si>
    <t>Marche (Ancona)</t>
  </si>
  <si>
    <t>15º</t>
  </si>
  <si>
    <t>University of Cagliari</t>
  </si>
  <si>
    <t>16º</t>
  </si>
  <si>
    <t>7.22</t>
  </si>
  <si>
    <t>University of Campania (Vanvitelli)</t>
  </si>
  <si>
    <t>UNI</t>
  </si>
  <si>
    <t>Qs_rep_calc</t>
  </si>
  <si>
    <t>Censis_calc</t>
  </si>
  <si>
    <t>Nat_index_calc</t>
  </si>
  <si>
    <t>Qs_rank_calc</t>
  </si>
  <si>
    <t>THE_rank_calc</t>
  </si>
  <si>
    <t>SCORE_Q</t>
  </si>
  <si>
    <t>Corte_calc</t>
  </si>
  <si>
    <t>COL_calc</t>
  </si>
  <si>
    <t>QOL_calc</t>
  </si>
  <si>
    <t>city_size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</si>
</sst>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27.0"/>
    <col customWidth="1" min="3" max="3" width="23.88"/>
    <col customWidth="1" min="4" max="4" width="16.25"/>
    <col customWidth="1" min="5" max="5" width="25.88"/>
    <col customWidth="1" min="6" max="6" width="26.63"/>
    <col customWidth="1" min="8" max="8" width="29.0"/>
    <col customWidth="1" min="9" max="9" width="16.5"/>
    <col customWidth="1" min="12" max="12" width="19.38"/>
    <col customWidth="1" min="13" max="1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4">
        <v>83.2</v>
      </c>
      <c r="D2" s="1">
        <v>72.0</v>
      </c>
      <c r="E2" s="1">
        <v>188.0</v>
      </c>
      <c r="F2" s="1">
        <v>82.5</v>
      </c>
      <c r="G2" s="1">
        <v>64.74</v>
      </c>
      <c r="H2" s="1" t="s">
        <v>16</v>
      </c>
      <c r="I2" s="2">
        <v>61.3</v>
      </c>
      <c r="J2" s="2">
        <v>549.24</v>
      </c>
      <c r="K2" s="1">
        <v>13.0</v>
      </c>
      <c r="L2" s="1">
        <v>65.8</v>
      </c>
      <c r="M2" s="2">
        <v>50.8</v>
      </c>
      <c r="N2" s="5">
        <f t="shared" ref="N2:N7" si="1">0.7*L2 + 0.3*M2</f>
        <v>61.3</v>
      </c>
    </row>
    <row r="3">
      <c r="A3" s="3" t="s">
        <v>17</v>
      </c>
      <c r="B3" s="3" t="s">
        <v>18</v>
      </c>
      <c r="C3" s="4">
        <v>64.0</v>
      </c>
      <c r="D3" s="1">
        <v>76.0</v>
      </c>
      <c r="E3" s="1">
        <v>95.0</v>
      </c>
      <c r="F3" s="1">
        <v>98.0</v>
      </c>
      <c r="G3" s="1">
        <v>48.41</v>
      </c>
      <c r="H3" s="1" t="s">
        <v>19</v>
      </c>
      <c r="I3" s="2">
        <v>68.7</v>
      </c>
      <c r="J3" s="2">
        <v>612.42</v>
      </c>
      <c r="K3" s="1">
        <v>20.0</v>
      </c>
      <c r="L3" s="1">
        <v>70.3</v>
      </c>
      <c r="M3" s="2">
        <v>59.1</v>
      </c>
      <c r="N3" s="5">
        <f t="shared" si="1"/>
        <v>66.94</v>
      </c>
    </row>
    <row r="4">
      <c r="A4" s="3" t="s">
        <v>20</v>
      </c>
      <c r="B4" s="3" t="s">
        <v>21</v>
      </c>
      <c r="C4" s="4">
        <v>64.9</v>
      </c>
      <c r="D4" s="1">
        <v>65.0</v>
      </c>
      <c r="E4" s="1">
        <v>138.0</v>
      </c>
      <c r="F4" s="1">
        <v>93.5</v>
      </c>
      <c r="G4" s="1">
        <v>41.93</v>
      </c>
      <c r="H4" s="1" t="s">
        <v>22</v>
      </c>
      <c r="I4" s="2">
        <v>75.4</v>
      </c>
      <c r="J4" s="2">
        <v>609.09</v>
      </c>
      <c r="K4" s="1">
        <v>15.0</v>
      </c>
      <c r="L4" s="1">
        <v>72.9</v>
      </c>
      <c r="M4" s="2">
        <v>60.2</v>
      </c>
      <c r="N4" s="5">
        <f t="shared" si="1"/>
        <v>69.09</v>
      </c>
    </row>
    <row r="5">
      <c r="A5" s="3" t="s">
        <v>23</v>
      </c>
      <c r="B5" s="3" t="s">
        <v>24</v>
      </c>
      <c r="C5" s="4">
        <v>60.1</v>
      </c>
      <c r="D5" s="1">
        <v>104.0</v>
      </c>
      <c r="E5" s="1">
        <v>163.0</v>
      </c>
      <c r="F5" s="1">
        <v>94.0</v>
      </c>
      <c r="G5" s="1">
        <v>77.91</v>
      </c>
      <c r="H5" s="1" t="s">
        <v>25</v>
      </c>
      <c r="I5" s="2">
        <v>65.2</v>
      </c>
      <c r="J5" s="2">
        <v>608.28</v>
      </c>
      <c r="K5" s="1">
        <v>25.0</v>
      </c>
      <c r="L5" s="1">
        <v>65.4</v>
      </c>
      <c r="M5" s="2">
        <v>49.5</v>
      </c>
      <c r="N5" s="5">
        <f t="shared" si="1"/>
        <v>60.63</v>
      </c>
    </row>
    <row r="6">
      <c r="A6" s="3" t="s">
        <v>26</v>
      </c>
      <c r="B6" s="3" t="s">
        <v>27</v>
      </c>
      <c r="C6" s="4">
        <v>47.9</v>
      </c>
      <c r="D6" s="1">
        <v>225.0</v>
      </c>
      <c r="E6" s="1">
        <v>225.0</v>
      </c>
      <c r="F6" s="1">
        <v>104.0</v>
      </c>
      <c r="G6" s="1">
        <v>33.13</v>
      </c>
      <c r="H6" s="1" t="s">
        <v>28</v>
      </c>
      <c r="I6" s="2">
        <v>75.4</v>
      </c>
      <c r="J6" s="2">
        <v>609.09</v>
      </c>
      <c r="K6" s="1">
        <v>18.0</v>
      </c>
      <c r="L6" s="1">
        <v>65.1</v>
      </c>
      <c r="M6" s="2">
        <v>54.2</v>
      </c>
      <c r="N6" s="5">
        <f t="shared" si="1"/>
        <v>61.83</v>
      </c>
    </row>
    <row r="7">
      <c r="A7" s="3" t="s">
        <v>29</v>
      </c>
      <c r="B7" s="3" t="s">
        <v>30</v>
      </c>
      <c r="C7" s="4">
        <v>46.2</v>
      </c>
      <c r="D7" s="1">
        <v>225.0</v>
      </c>
      <c r="E7" s="1">
        <v>225.0</v>
      </c>
      <c r="F7" s="1">
        <v>109.0</v>
      </c>
      <c r="G7" s="1">
        <v>19.78</v>
      </c>
      <c r="H7" s="1" t="s">
        <v>31</v>
      </c>
      <c r="I7" s="5">
        <f>I4*0.8</f>
        <v>60.32</v>
      </c>
      <c r="J7" s="2">
        <v>538.68</v>
      </c>
      <c r="K7" s="1" t="s">
        <v>32</v>
      </c>
      <c r="L7" s="1">
        <v>73.0</v>
      </c>
      <c r="M7" s="2">
        <v>53.3</v>
      </c>
      <c r="N7" s="5">
        <f t="shared" si="1"/>
        <v>67.09</v>
      </c>
    </row>
    <row r="8">
      <c r="A8" s="3" t="s">
        <v>33</v>
      </c>
      <c r="B8" s="3" t="s">
        <v>34</v>
      </c>
      <c r="C8" s="4">
        <v>59.9</v>
      </c>
      <c r="D8" s="1">
        <v>275.0</v>
      </c>
      <c r="E8" s="1">
        <v>275.0</v>
      </c>
      <c r="F8" s="1">
        <v>85.0</v>
      </c>
      <c r="G8" s="1">
        <v>36.61</v>
      </c>
      <c r="H8" s="1" t="s">
        <v>35</v>
      </c>
      <c r="I8" s="2">
        <v>62.0</v>
      </c>
      <c r="J8" s="2">
        <v>538.29</v>
      </c>
      <c r="K8" s="1">
        <v>32.0</v>
      </c>
      <c r="L8" s="1" t="s">
        <v>36</v>
      </c>
      <c r="M8" s="2">
        <v>50.0</v>
      </c>
      <c r="N8" s="2">
        <v>50.0</v>
      </c>
    </row>
    <row r="9">
      <c r="A9" s="3" t="s">
        <v>37</v>
      </c>
      <c r="B9" s="3" t="s">
        <v>38</v>
      </c>
      <c r="C9" s="4">
        <v>51.5</v>
      </c>
      <c r="D9" s="1">
        <v>225.0</v>
      </c>
      <c r="E9" s="1">
        <v>225.0</v>
      </c>
      <c r="F9" s="1">
        <v>81.5</v>
      </c>
      <c r="G9" s="1">
        <v>19.66</v>
      </c>
      <c r="H9" s="1" t="s">
        <v>39</v>
      </c>
      <c r="I9" s="2">
        <v>61.3</v>
      </c>
      <c r="J9" s="2">
        <v>549.24</v>
      </c>
      <c r="K9" s="1">
        <v>20.0</v>
      </c>
      <c r="L9" s="1">
        <v>69.1</v>
      </c>
      <c r="M9" s="2">
        <v>53.4</v>
      </c>
      <c r="N9" s="5">
        <f t="shared" ref="N9:N10" si="2">0.7*L9 + 0.3*M9</f>
        <v>64.39</v>
      </c>
    </row>
    <row r="10">
      <c r="A10" s="3" t="s">
        <v>40</v>
      </c>
      <c r="B10" s="3" t="s">
        <v>41</v>
      </c>
      <c r="C10" s="4">
        <v>54.4</v>
      </c>
      <c r="D10" s="1">
        <v>225.0</v>
      </c>
      <c r="E10" s="1">
        <v>225.0</v>
      </c>
      <c r="F10" s="1">
        <v>71.0</v>
      </c>
      <c r="G10" s="1">
        <v>42.89</v>
      </c>
      <c r="H10" s="1" t="s">
        <v>42</v>
      </c>
      <c r="I10" s="2">
        <v>59.8</v>
      </c>
      <c r="J10" s="2">
        <v>411.41</v>
      </c>
      <c r="K10" s="1">
        <v>45.0</v>
      </c>
      <c r="L10" s="1">
        <v>63.1</v>
      </c>
      <c r="M10" s="2">
        <v>52.0</v>
      </c>
      <c r="N10" s="5">
        <f t="shared" si="2"/>
        <v>59.77</v>
      </c>
    </row>
    <row r="11">
      <c r="A11" s="3" t="s">
        <v>43</v>
      </c>
      <c r="B11" s="3" t="s">
        <v>44</v>
      </c>
      <c r="C11" s="4">
        <v>43.1</v>
      </c>
      <c r="D11" s="1">
        <v>375.0</v>
      </c>
      <c r="E11" s="1">
        <v>275.0</v>
      </c>
      <c r="F11" s="1">
        <v>78.0</v>
      </c>
      <c r="G11" s="1">
        <v>6.0</v>
      </c>
      <c r="H11" s="1" t="s">
        <v>45</v>
      </c>
      <c r="I11" s="2">
        <v>52.9</v>
      </c>
      <c r="J11" s="2">
        <v>448.59</v>
      </c>
      <c r="K11" s="1">
        <v>60.0</v>
      </c>
      <c r="L11" s="1">
        <v>61.6</v>
      </c>
      <c r="M11" s="2" t="s">
        <v>46</v>
      </c>
      <c r="N11" s="2">
        <v>61.6</v>
      </c>
    </row>
    <row r="12">
      <c r="A12" s="3" t="s">
        <v>47</v>
      </c>
      <c r="B12" s="3" t="s">
        <v>48</v>
      </c>
      <c r="C12" s="4">
        <v>44.0</v>
      </c>
      <c r="D12" s="1">
        <v>475.0</v>
      </c>
      <c r="E12" s="1">
        <v>450.0</v>
      </c>
      <c r="F12" s="1">
        <v>89.0</v>
      </c>
      <c r="G12" s="1">
        <v>20.38</v>
      </c>
      <c r="H12" s="1" t="s">
        <v>49</v>
      </c>
      <c r="I12" s="5">
        <f>I3*0.9</f>
        <v>61.83</v>
      </c>
      <c r="J12" s="2">
        <v>607.23</v>
      </c>
      <c r="K12" s="1">
        <v>45.0</v>
      </c>
      <c r="L12" s="1">
        <v>67.6</v>
      </c>
      <c r="M12" s="2">
        <v>50.1</v>
      </c>
      <c r="N12" s="5">
        <f t="shared" ref="N12:N15" si="3">0.7*L12 + 0.3*M12</f>
        <v>62.35</v>
      </c>
    </row>
    <row r="13">
      <c r="A13" s="3" t="s">
        <v>50</v>
      </c>
      <c r="B13" s="3" t="s">
        <v>51</v>
      </c>
      <c r="C13" s="4">
        <v>42.0</v>
      </c>
      <c r="D13" s="1">
        <v>675.0</v>
      </c>
      <c r="E13" s="1">
        <v>350.0</v>
      </c>
      <c r="F13" s="1">
        <v>84.5</v>
      </c>
      <c r="G13" s="1">
        <v>4.87</v>
      </c>
      <c r="H13" s="1" t="s">
        <v>52</v>
      </c>
      <c r="I13" s="2">
        <v>55.8</v>
      </c>
      <c r="J13" s="2">
        <v>457.39</v>
      </c>
      <c r="K13" s="1">
        <v>56.0</v>
      </c>
      <c r="L13" s="1">
        <v>58.2</v>
      </c>
      <c r="M13" s="2">
        <v>36.9</v>
      </c>
      <c r="N13" s="5">
        <f t="shared" si="3"/>
        <v>51.81</v>
      </c>
    </row>
    <row r="14">
      <c r="A14" s="3" t="s">
        <v>53</v>
      </c>
      <c r="B14" s="3" t="s">
        <v>54</v>
      </c>
      <c r="C14" s="4">
        <v>44.5</v>
      </c>
      <c r="D14" s="1">
        <v>475.0</v>
      </c>
      <c r="E14" s="1">
        <v>450.0</v>
      </c>
      <c r="F14" s="1">
        <v>70.0</v>
      </c>
      <c r="G14" s="1">
        <v>11.56</v>
      </c>
      <c r="H14" s="1" t="s">
        <v>55</v>
      </c>
      <c r="I14" s="2">
        <v>56.7</v>
      </c>
      <c r="J14" s="2">
        <v>523.26</v>
      </c>
      <c r="K14" s="1">
        <v>11.0</v>
      </c>
      <c r="L14" s="1">
        <v>49.3</v>
      </c>
      <c r="M14" s="2">
        <v>32.2</v>
      </c>
      <c r="N14" s="5">
        <f t="shared" si="3"/>
        <v>44.17</v>
      </c>
    </row>
    <row r="15">
      <c r="A15" s="3" t="s">
        <v>56</v>
      </c>
      <c r="B15" s="3" t="s">
        <v>57</v>
      </c>
      <c r="C15" s="4">
        <v>41.5</v>
      </c>
      <c r="D15" s="1">
        <v>775.0</v>
      </c>
      <c r="E15" s="1">
        <v>350.0</v>
      </c>
      <c r="F15" s="1">
        <v>83.5</v>
      </c>
      <c r="G15" s="1">
        <v>4.68</v>
      </c>
      <c r="H15" s="1" t="s">
        <v>58</v>
      </c>
      <c r="I15" s="2">
        <v>61.42</v>
      </c>
      <c r="J15" s="2">
        <v>588.29</v>
      </c>
      <c r="K15" s="1">
        <v>60.0</v>
      </c>
      <c r="L15" s="1">
        <v>58.2</v>
      </c>
      <c r="M15" s="2">
        <v>43.0</v>
      </c>
      <c r="N15" s="5">
        <f t="shared" si="3"/>
        <v>53.64</v>
      </c>
    </row>
    <row r="16">
      <c r="A16" s="3" t="s">
        <v>59</v>
      </c>
      <c r="B16" s="6">
        <v>46303.0</v>
      </c>
      <c r="C16" s="4">
        <v>41.3</v>
      </c>
      <c r="D16" s="1">
        <v>675.0</v>
      </c>
      <c r="E16" s="1">
        <v>450.0</v>
      </c>
      <c r="F16" s="1">
        <v>81.5</v>
      </c>
      <c r="G16" s="1">
        <v>7.0</v>
      </c>
      <c r="H16" s="1" t="s">
        <v>60</v>
      </c>
      <c r="I16" s="2">
        <v>63.5</v>
      </c>
      <c r="J16" s="2">
        <v>567.87</v>
      </c>
      <c r="K16" s="1">
        <v>20.0</v>
      </c>
      <c r="L16" s="1">
        <v>54.2</v>
      </c>
      <c r="M16" s="2" t="s">
        <v>46</v>
      </c>
      <c r="N16" s="2">
        <v>54.2</v>
      </c>
    </row>
    <row r="17">
      <c r="A17" s="3" t="s">
        <v>61</v>
      </c>
      <c r="B17" s="3" t="s">
        <v>62</v>
      </c>
      <c r="C17" s="4">
        <v>42.1</v>
      </c>
      <c r="D17" s="1">
        <v>625.0</v>
      </c>
      <c r="E17" s="1">
        <v>450.0</v>
      </c>
      <c r="F17" s="1">
        <v>73.0</v>
      </c>
      <c r="G17" s="1">
        <v>6.48</v>
      </c>
      <c r="H17" s="1" t="s">
        <v>63</v>
      </c>
      <c r="I17" s="2">
        <v>59.8</v>
      </c>
      <c r="J17" s="2">
        <v>416.93</v>
      </c>
      <c r="K17" s="1">
        <v>50.0</v>
      </c>
      <c r="L17" s="1">
        <v>66.2</v>
      </c>
      <c r="M17" s="2">
        <v>47.3</v>
      </c>
      <c r="N17" s="5">
        <f>0.7*L17 + 0.3*M17</f>
        <v>60.53</v>
      </c>
    </row>
    <row r="19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72</v>
      </c>
      <c r="J19" s="2" t="s">
        <v>73</v>
      </c>
      <c r="K19" s="1" t="s">
        <v>74</v>
      </c>
      <c r="L19" s="1"/>
      <c r="M19" s="1"/>
      <c r="N19" s="1"/>
    </row>
    <row r="20">
      <c r="A20" s="1" t="s">
        <v>16</v>
      </c>
      <c r="B20" s="5">
        <f t="shared" ref="B20:B35" si="4">(C2-MIN($C$2:$C$17))/(MAX($C$2:$C$17)-MIN($C$2:$C$17))*100</f>
        <v>100</v>
      </c>
      <c r="C20" s="5">
        <f t="shared" ref="C20:C35" si="5">(F2-MIN($F$2:$F$17))/(MAX($F$2:$F$17)-MIN($F$2:$F$17))*100</f>
        <v>32.05128205</v>
      </c>
      <c r="D20" s="5">
        <f t="shared" ref="D20:D35" si="6">(G2-MIN($G$2:$G$17))/(MAX($G$2:$G$17)-MIN($G$2:$G$17))*100</f>
        <v>82.01556739</v>
      </c>
      <c r="E20" s="5">
        <f t="shared" ref="E20:E35" si="7">(MAX($D$2:$D$17)-D2)/(MAX($D$2:$D$17)-MIN($D$2:$D$17))*100</f>
        <v>99.01408451</v>
      </c>
      <c r="F20" s="5">
        <f t="shared" ref="F20:F35" si="8">(MAX($E$2:$E$17)-E2)/(MAX($E$2:$E$17)-MIN($E$2:$E$17))*100</f>
        <v>73.8028169</v>
      </c>
      <c r="G20" s="5">
        <f t="shared" ref="G20:G35" si="9">0.35*B20 + 0.25*E20 + 0.2*F20 + 0.15*C20 + 0.05*D20</f>
        <v>83.42255518</v>
      </c>
      <c r="H20" s="5">
        <f t="shared" ref="H20:H35" si="10">(N2-MIN($N$2:$N$17))/(MAX($N$2:$N$17)-MIN($N$2:$N$17))*100</f>
        <v>68.7399679</v>
      </c>
      <c r="I20" s="5">
        <f t="shared" ref="I20:I35" si="11">(MAX($I$2:$I$17)-I2)/(MAX($I$2:$I$17)-MIN($I$2:$I$17))*100</f>
        <v>62.66666667</v>
      </c>
      <c r="J20" s="5">
        <f t="shared" ref="J20:J35" si="12">(J2-MIN($J$2:$J$17))/(MAX($J$2:$J$17)-MIN($J$2:$J$17))*100</f>
        <v>68.56872792</v>
      </c>
      <c r="K20" s="3">
        <v>2.0</v>
      </c>
      <c r="L20" s="1"/>
      <c r="M20" s="1"/>
      <c r="N20" s="1"/>
    </row>
    <row r="21">
      <c r="A21" s="1" t="s">
        <v>19</v>
      </c>
      <c r="B21" s="5">
        <f t="shared" si="4"/>
        <v>54.17661098</v>
      </c>
      <c r="C21" s="5">
        <f t="shared" si="5"/>
        <v>71.79487179</v>
      </c>
      <c r="D21" s="5">
        <f t="shared" si="6"/>
        <v>59.7159634</v>
      </c>
      <c r="E21" s="5">
        <f t="shared" si="7"/>
        <v>98.45070423</v>
      </c>
      <c r="F21" s="5">
        <f t="shared" si="8"/>
        <v>100</v>
      </c>
      <c r="G21" s="5">
        <f t="shared" si="9"/>
        <v>77.32951884</v>
      </c>
      <c r="H21" s="5">
        <f t="shared" si="10"/>
        <v>91.37239165</v>
      </c>
      <c r="I21" s="5">
        <f t="shared" si="11"/>
        <v>29.77777778</v>
      </c>
      <c r="J21" s="5">
        <f t="shared" si="12"/>
        <v>100</v>
      </c>
      <c r="K21" s="3">
        <v>1.0</v>
      </c>
      <c r="L21" s="1"/>
      <c r="M21" s="1"/>
      <c r="N21" s="1"/>
    </row>
    <row r="22">
      <c r="A22" s="1" t="s">
        <v>22</v>
      </c>
      <c r="B22" s="5">
        <f t="shared" si="4"/>
        <v>56.32458234</v>
      </c>
      <c r="C22" s="5">
        <f t="shared" si="5"/>
        <v>60.25641026</v>
      </c>
      <c r="D22" s="5">
        <f t="shared" si="6"/>
        <v>50.86713096</v>
      </c>
      <c r="E22" s="5">
        <f t="shared" si="7"/>
        <v>100</v>
      </c>
      <c r="F22" s="5">
        <f t="shared" si="8"/>
        <v>87.88732394</v>
      </c>
      <c r="G22" s="5">
        <f t="shared" si="9"/>
        <v>73.87288669</v>
      </c>
      <c r="H22" s="5">
        <f t="shared" si="10"/>
        <v>100</v>
      </c>
      <c r="I22" s="5">
        <f t="shared" si="11"/>
        <v>0</v>
      </c>
      <c r="J22" s="5">
        <f t="shared" si="12"/>
        <v>98.343366</v>
      </c>
      <c r="K22" s="3">
        <v>2.0</v>
      </c>
      <c r="L22" s="1"/>
      <c r="M22" s="1"/>
      <c r="N22" s="1"/>
    </row>
    <row r="23">
      <c r="A23" s="1" t="s">
        <v>25</v>
      </c>
      <c r="B23" s="5">
        <f t="shared" si="4"/>
        <v>44.86873508</v>
      </c>
      <c r="C23" s="5">
        <f t="shared" si="5"/>
        <v>61.53846154</v>
      </c>
      <c r="D23" s="5">
        <f t="shared" si="6"/>
        <v>100</v>
      </c>
      <c r="E23" s="5">
        <f t="shared" si="7"/>
        <v>94.50704225</v>
      </c>
      <c r="F23" s="5">
        <f t="shared" si="8"/>
        <v>80.84507042</v>
      </c>
      <c r="G23" s="5">
        <f t="shared" si="9"/>
        <v>69.73060116</v>
      </c>
      <c r="H23" s="5">
        <f t="shared" si="10"/>
        <v>66.05136437</v>
      </c>
      <c r="I23" s="5">
        <f t="shared" si="11"/>
        <v>45.33333333</v>
      </c>
      <c r="J23" s="5">
        <f t="shared" si="12"/>
        <v>97.94040098</v>
      </c>
      <c r="K23" s="3">
        <v>1.0</v>
      </c>
      <c r="L23" s="1"/>
      <c r="M23" s="1"/>
      <c r="N23" s="1"/>
    </row>
    <row r="24">
      <c r="A24" s="1" t="s">
        <v>28</v>
      </c>
      <c r="B24" s="5">
        <f t="shared" si="4"/>
        <v>15.75178998</v>
      </c>
      <c r="C24" s="5">
        <f t="shared" si="5"/>
        <v>87.17948718</v>
      </c>
      <c r="D24" s="5">
        <f t="shared" si="6"/>
        <v>38.85019801</v>
      </c>
      <c r="E24" s="5">
        <f t="shared" si="7"/>
        <v>77.46478873</v>
      </c>
      <c r="F24" s="5">
        <f t="shared" si="8"/>
        <v>63.38028169</v>
      </c>
      <c r="G24" s="5">
        <f t="shared" si="9"/>
        <v>52.57481299</v>
      </c>
      <c r="H24" s="5">
        <f t="shared" si="10"/>
        <v>70.86677368</v>
      </c>
      <c r="I24" s="5">
        <f t="shared" si="11"/>
        <v>0</v>
      </c>
      <c r="J24" s="5">
        <f t="shared" si="12"/>
        <v>98.343366</v>
      </c>
      <c r="K24" s="3">
        <v>2.0</v>
      </c>
      <c r="L24" s="1"/>
      <c r="M24" s="1"/>
      <c r="N24" s="1"/>
    </row>
    <row r="25">
      <c r="A25" s="1" t="s">
        <v>31</v>
      </c>
      <c r="B25" s="5">
        <f t="shared" si="4"/>
        <v>11.69451074</v>
      </c>
      <c r="C25" s="5">
        <f t="shared" si="5"/>
        <v>100</v>
      </c>
      <c r="D25" s="5">
        <f t="shared" si="6"/>
        <v>20.6199645</v>
      </c>
      <c r="E25" s="5">
        <f t="shared" si="7"/>
        <v>77.46478873</v>
      </c>
      <c r="F25" s="5">
        <f t="shared" si="8"/>
        <v>63.38028169</v>
      </c>
      <c r="G25" s="5">
        <f t="shared" si="9"/>
        <v>52.1663305</v>
      </c>
      <c r="H25" s="5">
        <f t="shared" si="10"/>
        <v>91.97431782</v>
      </c>
      <c r="I25" s="5">
        <f t="shared" si="11"/>
        <v>67.02222222</v>
      </c>
      <c r="J25" s="5">
        <f t="shared" si="12"/>
        <v>63.31525795</v>
      </c>
      <c r="K25" s="3">
        <v>0.0</v>
      </c>
      <c r="L25" s="1"/>
      <c r="M25" s="1"/>
      <c r="N25" s="1"/>
    </row>
    <row r="26">
      <c r="A26" s="1" t="s">
        <v>35</v>
      </c>
      <c r="B26" s="5">
        <f t="shared" si="4"/>
        <v>44.39140811</v>
      </c>
      <c r="C26" s="5">
        <f t="shared" si="5"/>
        <v>38.46153846</v>
      </c>
      <c r="D26" s="5">
        <f t="shared" si="6"/>
        <v>43.60234876</v>
      </c>
      <c r="E26" s="5">
        <f t="shared" si="7"/>
        <v>70.42253521</v>
      </c>
      <c r="F26" s="5">
        <f t="shared" si="8"/>
        <v>49.29577465</v>
      </c>
      <c r="G26" s="5">
        <f t="shared" si="9"/>
        <v>50.95112978</v>
      </c>
      <c r="H26" s="5">
        <f t="shared" si="10"/>
        <v>23.39486356</v>
      </c>
      <c r="I26" s="5">
        <f t="shared" si="11"/>
        <v>59.55555556</v>
      </c>
      <c r="J26" s="5">
        <f t="shared" si="12"/>
        <v>63.12123775</v>
      </c>
      <c r="K26" s="3">
        <v>2.0</v>
      </c>
      <c r="L26" s="1"/>
      <c r="M26" s="1"/>
      <c r="N26" s="1"/>
    </row>
    <row r="27">
      <c r="A27" s="1" t="s">
        <v>39</v>
      </c>
      <c r="B27" s="5">
        <f t="shared" si="4"/>
        <v>24.34367542</v>
      </c>
      <c r="C27" s="5">
        <f t="shared" si="5"/>
        <v>29.48717949</v>
      </c>
      <c r="D27" s="5">
        <f t="shared" si="6"/>
        <v>20.45609723</v>
      </c>
      <c r="E27" s="5">
        <f t="shared" si="7"/>
        <v>77.46478873</v>
      </c>
      <c r="F27" s="5">
        <f t="shared" si="8"/>
        <v>63.38028169</v>
      </c>
      <c r="G27" s="5">
        <f t="shared" si="9"/>
        <v>46.0084217</v>
      </c>
      <c r="H27" s="5">
        <f t="shared" si="10"/>
        <v>81.13964687</v>
      </c>
      <c r="I27" s="5">
        <f t="shared" si="11"/>
        <v>62.66666667</v>
      </c>
      <c r="J27" s="5">
        <f t="shared" si="12"/>
        <v>68.56872792</v>
      </c>
      <c r="K27" s="3">
        <v>2.0</v>
      </c>
      <c r="L27" s="1"/>
      <c r="M27" s="1"/>
      <c r="N27" s="1"/>
    </row>
    <row r="28">
      <c r="A28" s="1" t="s">
        <v>42</v>
      </c>
      <c r="B28" s="5">
        <f t="shared" si="4"/>
        <v>31.26491647</v>
      </c>
      <c r="C28" s="5">
        <f t="shared" si="5"/>
        <v>2.564102564</v>
      </c>
      <c r="D28" s="5">
        <f t="shared" si="6"/>
        <v>52.1780691</v>
      </c>
      <c r="E28" s="5">
        <f t="shared" si="7"/>
        <v>77.46478873</v>
      </c>
      <c r="F28" s="5">
        <f t="shared" si="8"/>
        <v>63.38028169</v>
      </c>
      <c r="G28" s="5">
        <f t="shared" si="9"/>
        <v>45.97849312</v>
      </c>
      <c r="H28" s="5">
        <f t="shared" si="10"/>
        <v>62.60032103</v>
      </c>
      <c r="I28" s="5">
        <f t="shared" si="11"/>
        <v>69.33333333</v>
      </c>
      <c r="J28" s="5">
        <f t="shared" si="12"/>
        <v>0</v>
      </c>
      <c r="K28" s="3">
        <v>2.0</v>
      </c>
      <c r="L28" s="1"/>
      <c r="M28" s="1"/>
      <c r="N28" s="1"/>
    </row>
    <row r="29">
      <c r="A29" s="1" t="s">
        <v>45</v>
      </c>
      <c r="B29" s="5">
        <f t="shared" si="4"/>
        <v>4.295942721</v>
      </c>
      <c r="C29" s="5">
        <f t="shared" si="5"/>
        <v>20.51282051</v>
      </c>
      <c r="D29" s="5">
        <f t="shared" si="6"/>
        <v>1.802539943</v>
      </c>
      <c r="E29" s="5">
        <f t="shared" si="7"/>
        <v>56.33802817</v>
      </c>
      <c r="F29" s="5">
        <f t="shared" si="8"/>
        <v>49.29577465</v>
      </c>
      <c r="G29" s="5">
        <f t="shared" si="9"/>
        <v>28.614292</v>
      </c>
      <c r="H29" s="5">
        <f t="shared" si="10"/>
        <v>69.94382022</v>
      </c>
      <c r="I29" s="5">
        <f t="shared" si="11"/>
        <v>100</v>
      </c>
      <c r="J29" s="5">
        <f t="shared" si="12"/>
        <v>18.49659221</v>
      </c>
      <c r="K29" s="3">
        <v>1.0</v>
      </c>
      <c r="L29" s="1"/>
      <c r="M29" s="1"/>
      <c r="N29" s="1"/>
    </row>
    <row r="30">
      <c r="A30" s="1" t="s">
        <v>49</v>
      </c>
      <c r="B30" s="5">
        <f t="shared" si="4"/>
        <v>6.443914081</v>
      </c>
      <c r="C30" s="5">
        <f t="shared" si="5"/>
        <v>48.71794872</v>
      </c>
      <c r="D30" s="5">
        <f t="shared" si="6"/>
        <v>21.43930083</v>
      </c>
      <c r="E30" s="5">
        <f t="shared" si="7"/>
        <v>42.25352113</v>
      </c>
      <c r="F30" s="5">
        <f t="shared" si="8"/>
        <v>0</v>
      </c>
      <c r="G30" s="5">
        <f t="shared" si="9"/>
        <v>21.19840756</v>
      </c>
      <c r="H30" s="5">
        <f t="shared" si="10"/>
        <v>72.95345104</v>
      </c>
      <c r="I30" s="5">
        <f t="shared" si="11"/>
        <v>60.31111111</v>
      </c>
      <c r="J30" s="5">
        <f t="shared" si="12"/>
        <v>97.4180389</v>
      </c>
      <c r="K30" s="3">
        <v>1.0</v>
      </c>
      <c r="L30" s="1"/>
      <c r="M30" s="1"/>
      <c r="N30" s="1"/>
    </row>
    <row r="31">
      <c r="A31" s="1" t="s">
        <v>52</v>
      </c>
      <c r="B31" s="5">
        <f t="shared" si="4"/>
        <v>1.670644391</v>
      </c>
      <c r="C31" s="5">
        <f t="shared" si="5"/>
        <v>37.17948718</v>
      </c>
      <c r="D31" s="5">
        <f t="shared" si="6"/>
        <v>0.2594565069</v>
      </c>
      <c r="E31" s="5">
        <f t="shared" si="7"/>
        <v>14.08450704</v>
      </c>
      <c r="F31" s="5">
        <f t="shared" si="8"/>
        <v>28.16901408</v>
      </c>
      <c r="G31" s="5">
        <f t="shared" si="9"/>
        <v>15.32955102</v>
      </c>
      <c r="H31" s="5">
        <f t="shared" si="10"/>
        <v>30.65810594</v>
      </c>
      <c r="I31" s="5">
        <f t="shared" si="11"/>
        <v>87.11111111</v>
      </c>
      <c r="J31" s="5">
        <f t="shared" si="12"/>
        <v>22.87448386</v>
      </c>
      <c r="K31" s="3">
        <v>1.0</v>
      </c>
      <c r="L31" s="1"/>
      <c r="M31" s="1"/>
      <c r="N31" s="1"/>
    </row>
    <row r="32">
      <c r="A32" s="1" t="s">
        <v>55</v>
      </c>
      <c r="B32" s="5">
        <f t="shared" si="4"/>
        <v>7.637231504</v>
      </c>
      <c r="C32" s="5">
        <f t="shared" si="5"/>
        <v>0</v>
      </c>
      <c r="D32" s="5">
        <f t="shared" si="6"/>
        <v>9.395056671</v>
      </c>
      <c r="E32" s="5">
        <f t="shared" si="7"/>
        <v>42.25352113</v>
      </c>
      <c r="F32" s="5">
        <f t="shared" si="8"/>
        <v>0</v>
      </c>
      <c r="G32" s="5">
        <f t="shared" si="9"/>
        <v>13.70616414</v>
      </c>
      <c r="H32" s="5">
        <f t="shared" si="10"/>
        <v>0</v>
      </c>
      <c r="I32" s="5">
        <f t="shared" si="11"/>
        <v>83.11111111</v>
      </c>
      <c r="J32" s="5">
        <f t="shared" si="12"/>
        <v>55.64399781</v>
      </c>
      <c r="K32" s="3">
        <v>1.0</v>
      </c>
      <c r="L32" s="1"/>
      <c r="M32" s="1"/>
      <c r="N32" s="1"/>
    </row>
    <row r="33">
      <c r="A33" s="1" t="s">
        <v>58</v>
      </c>
      <c r="B33" s="5">
        <f t="shared" si="4"/>
        <v>0.477326969</v>
      </c>
      <c r="C33" s="5">
        <f t="shared" si="5"/>
        <v>34.61538462</v>
      </c>
      <c r="D33" s="5">
        <f t="shared" si="6"/>
        <v>0</v>
      </c>
      <c r="E33" s="5">
        <f t="shared" si="7"/>
        <v>0</v>
      </c>
      <c r="F33" s="5">
        <f t="shared" si="8"/>
        <v>28.16901408</v>
      </c>
      <c r="G33" s="5">
        <f t="shared" si="9"/>
        <v>10.99317495</v>
      </c>
      <c r="H33" s="5">
        <f t="shared" si="10"/>
        <v>38.00160514</v>
      </c>
      <c r="I33" s="5">
        <f t="shared" si="11"/>
        <v>62.13333333</v>
      </c>
      <c r="J33" s="5">
        <f t="shared" si="12"/>
        <v>87.99562211</v>
      </c>
      <c r="K33" s="3">
        <v>0.0</v>
      </c>
      <c r="L33" s="1"/>
      <c r="M33" s="1"/>
      <c r="N33" s="1"/>
    </row>
    <row r="34">
      <c r="A34" s="1" t="s">
        <v>60</v>
      </c>
      <c r="B34" s="5">
        <f t="shared" si="4"/>
        <v>0</v>
      </c>
      <c r="C34" s="5">
        <f t="shared" si="5"/>
        <v>29.48717949</v>
      </c>
      <c r="D34" s="5">
        <f t="shared" si="6"/>
        <v>3.168100505</v>
      </c>
      <c r="E34" s="5">
        <f t="shared" si="7"/>
        <v>14.08450704</v>
      </c>
      <c r="F34" s="5">
        <f t="shared" si="8"/>
        <v>0</v>
      </c>
      <c r="G34" s="5">
        <f t="shared" si="9"/>
        <v>8.102608709</v>
      </c>
      <c r="H34" s="5">
        <f t="shared" si="10"/>
        <v>40.24879615</v>
      </c>
      <c r="I34" s="5">
        <f t="shared" si="11"/>
        <v>52.88888889</v>
      </c>
      <c r="J34" s="5">
        <f t="shared" si="12"/>
        <v>77.83692354</v>
      </c>
      <c r="K34" s="3">
        <v>1.0</v>
      </c>
      <c r="L34" s="1"/>
      <c r="M34" s="1"/>
      <c r="N34" s="1"/>
    </row>
    <row r="35">
      <c r="A35" s="1" t="s">
        <v>63</v>
      </c>
      <c r="B35" s="5">
        <f t="shared" si="4"/>
        <v>1.909307876</v>
      </c>
      <c r="C35" s="5">
        <f t="shared" si="5"/>
        <v>7.692307692</v>
      </c>
      <c r="D35" s="5">
        <f t="shared" si="6"/>
        <v>2.458009013</v>
      </c>
      <c r="E35" s="5">
        <f t="shared" si="7"/>
        <v>21.12676056</v>
      </c>
      <c r="F35" s="5">
        <f t="shared" si="8"/>
        <v>0</v>
      </c>
      <c r="G35" s="5">
        <f t="shared" si="9"/>
        <v>7.226694502</v>
      </c>
      <c r="H35" s="5">
        <f t="shared" si="10"/>
        <v>65.65008026</v>
      </c>
      <c r="I35" s="5">
        <f t="shared" si="11"/>
        <v>69.33333333</v>
      </c>
      <c r="J35" s="5">
        <f t="shared" si="12"/>
        <v>2.746132033</v>
      </c>
      <c r="K35" s="3">
        <v>2.0</v>
      </c>
      <c r="L35" s="1"/>
      <c r="M35" s="1"/>
      <c r="N35" s="1"/>
    </row>
  </sheetData>
  <conditionalFormatting sqref="I2:I17">
    <cfRule type="containsBlanks" dxfId="0" priority="1">
      <formula>LEN(TRIM(I2))=0</formula>
    </cfRule>
  </conditionalFormatting>
  <conditionalFormatting sqref="J2:J17">
    <cfRule type="containsBlanks" dxfId="0" priority="2">
      <formula>LEN(TRIM(J2))=0</formula>
    </cfRule>
  </conditionalFormatting>
  <drawing r:id="rId1"/>
</worksheet>
</file>